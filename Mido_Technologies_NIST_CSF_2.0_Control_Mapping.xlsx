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02835cf9c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ST CSF 2.0 Mapping" sheetId="1" r:id="R6a5a238d6e9342dd"/>
    <x:sheet xmlns:r="http://schemas.openxmlformats.org/officeDocument/2006/relationships" name="Summary" sheetId="2" r:id="R78f7002a8b05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395a272824311" /><Relationship Type="http://schemas.openxmlformats.org/officeDocument/2006/relationships/theme" Target="/xl/theme/theme1.xml" Id="R11f95b7380444f5c" /><Relationship Type="http://schemas.openxmlformats.org/officeDocument/2006/relationships/sharedStrings" Target="/xl/sharedStrings.xml" Id="R74acb7c4e4f24fcd" /><Relationship Type="http://schemas.openxmlformats.org/officeDocument/2006/relationships/worksheet" Target="/xl/worksheets/sheet1.xml" Id="R6a5a238d6e9342dd" /><Relationship Type="http://schemas.openxmlformats.org/officeDocument/2006/relationships/worksheet" Target="/xl/worksheets/sheet2.xml" Id="R78f7002a8b054f96" /></Relationships>
</file>

<file path=xl/tables/table1.xml><?xml version="1.0" encoding="utf-8"?>
<x:table xmlns:x="http://schemas.openxmlformats.org/spreadsheetml/2006/main" id="1" name="NISTMappingTable" displayName="NISTMappingTable" ref="A1:K10" headerRowCount="1" totalsRowCount="0" totalsRowShown="0">
  <x:tableColumns count="11">
    <x:tableColumn id="1" name="Risk ID"/>
    <x:tableColumn id="2" name="Risk / Finding"/>
    <x:tableColumn id="3" name="CSF Function"/>
    <x:tableColumn id="4" name="Category ID"/>
    <x:tableColumn id="5" name="Category"/>
    <x:tableColumn id="6" name="Relevant Outcome / Rationale"/>
    <x:tableColumn id="7" name="Mido Control / Remediation"/>
    <x:tableColumn id="8" name="Evidence from Capstone"/>
    <x:tableColumn id="9" name="Status"/>
    <x:tableColumn id="10" name="Portfolio Note"/>
    <x:tableColumn id="11" name="NIST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1a2478e4a246a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3" hidden="0" customWidth="1"/>
    <x:col min="4" max="4" width="12" hidden="0" customWidth="1"/>
    <x:col min="5" max="5" width="32" hidden="0" customWidth="1"/>
    <x:col min="6" max="6" width="40" hidden="0" customWidth="1"/>
    <x:col min="7" max="7" width="44" hidden="0" customWidth="1"/>
    <x:col min="8" max="8" width="34" hidden="0" customWidth="1"/>
    <x:col min="9" max="9" width="20" hidden="0" customWidth="1"/>
    <x:col min="10" max="10" width="40" hidden="0" customWidth="1"/>
    <x:col min="11" max="11" width="34" hidden="0" customWidth="1"/>
  </x:cols>
  <x:sheetData>
    <x:row r="1" ht="34" customHeight="1">
      <x:c r="A1" s="6" t="str">
        <x:v>Risk ID</x:v>
      </x:c>
      <x:c r="B1" s="6" t="str">
        <x:v>Risk / Finding</x:v>
      </x:c>
      <x:c r="C1" s="6" t="str">
        <x:v>CSF Function</x:v>
      </x:c>
      <x:c r="D1" s="6" t="str">
        <x:v>Category ID</x:v>
      </x:c>
      <x:c r="E1" s="6" t="str">
        <x:v>Category</x:v>
      </x:c>
      <x:c r="F1" s="6" t="str">
        <x:v>Relevant Outcome / Rationale</x:v>
      </x:c>
      <x:c r="G1" s="6" t="str">
        <x:v>Mido Control / Remediation</x:v>
      </x:c>
      <x:c r="H1" s="6" t="str">
        <x:v>Evidence from Capstone</x:v>
      </x:c>
      <x:c r="I1" s="6" t="str">
        <x:v>Status</x:v>
      </x:c>
      <x:c r="J1" s="6" t="str">
        <x:v>Portfolio Note</x:v>
      </x:c>
      <x:c r="K1" s="6" t="str">
        <x:v>NIST Source</x:v>
      </x:c>
    </x:row>
    <x:row r="2" ht="72" customHeight="1">
      <x:c r="A2" s="14" t="str">
        <x:v>R-001</x:v>
      </x:c>
      <x:c r="B2" s="14" t="str">
        <x:v>Legacy WEP wireless encryption</x:v>
      </x:c>
      <x:c r="C2" s="14" t="str">
        <x:v>Protect</x:v>
      </x:c>
      <x:c r="D2" s="14" t="str">
        <x:v>PR.IR</x:v>
      </x:c>
      <x:c r="E2" s="14" t="str">
        <x:v>Technology Infrastructure Resilience</x:v>
      </x:c>
      <x:c r="F2" s="14" t="str">
        <x:v>Protect networks and environments from unauthorized logical access and use.</x:v>
      </x:c>
      <x:c r="G2" s="14" t="str">
        <x:v>Replace WEP with WPA3 and use secure wireless configuration.</x:v>
      </x:c>
      <x:c r="H2" s="14" t="str">
        <x:v>Problem Summary; A.2 Wireless Security; Appendix A</x:v>
      </x:c>
      <x:c r="I2" s="14" t="str">
        <x:v>Implemented</x:v>
      </x:c>
      <x:c r="J2" s="14" t="str">
        <x:v>CSF 2.0 mapping added as a portfolio extension.</x:v>
      </x:c>
      <x:c r="K2" s="14" t="str">
        <x:v>https://doi.org/10.6028/NIST.CSWP.29</x:v>
      </x:c>
    </x:row>
    <x:row r="3" ht="72" customHeight="1">
      <x:c r="A3" s="14" t="str">
        <x:v>R-002</x:v>
      </x:c>
      <x:c r="B3" s="14" t="str">
        <x:v>Flat network with no segmentation</x:v>
      </x:c>
      <x:c r="C3" s="14" t="str">
        <x:v>Protect</x:v>
      </x:c>
      <x:c r="D3" s="14" t="str">
        <x:v>PR.IR</x:v>
      </x:c>
      <x:c r="E3" s="14" t="str">
        <x:v>Technology Infrastructure Resilience</x:v>
      </x:c>
      <x:c r="F3" s="14" t="str">
        <x:v>Use security architecture to protect network environments and limit unauthorized access.</x:v>
      </x:c>
      <x:c r="G3" s="14" t="str">
        <x:v>Segment employee, guest, and IoT traffic with VLANs and ACLs; apply least privilege.</x:v>
      </x:c>
      <x:c r="H3" s="14" t="str">
        <x:v>Problem Summary; Design; Appendix B</x:v>
      </x:c>
      <x:c r="I3" s="14" t="str">
        <x:v>Implemented</x:v>
      </x:c>
      <x:c r="J3" s="14" t="str">
        <x:v>CSF 2.0 mapping added as a portfolio extension.</x:v>
      </x:c>
      <x:c r="K3" s="14" t="str">
        <x:v>https://doi.org/10.6028/NIST.CSWP.29</x:v>
      </x:c>
    </x:row>
    <x:row r="4" ht="72" customHeight="1">
      <x:c r="A4" s="14" t="str">
        <x:v>R-003</x:v>
      </x:c>
      <x:c r="B4" s="14" t="str">
        <x:v>Shared accounts and weak/reused passwords</x:v>
      </x:c>
      <x:c r="C4" s="14" t="str">
        <x:v>Protect</x:v>
      </x:c>
      <x:c r="D4" s="14" t="str">
        <x:v>PR.AA</x:v>
      </x:c>
      <x:c r="E4" s="14" t="str">
        <x:v>Identity Management, Authentication, and Access Control</x:v>
      </x:c>
      <x:c r="F4" s="14" t="str">
        <x:v>Manage identities, credentials, authentication, and access according to risk.</x:v>
      </x:c>
      <x:c r="G4" s="14" t="str">
        <x:v>Eliminate shared accounts; create individual accounts; enforce strong password policies and lifecycle procedures.</x:v>
      </x:c>
      <x:c r="H4" s="14" t="str">
        <x:v>Problem Summary; A.2 User Account Controls; Implementation</x:v>
      </x:c>
      <x:c r="I4" s="14" t="str">
        <x:v>Implemented</x:v>
      </x:c>
      <x:c r="J4" s="14" t="str">
        <x:v>CSF 2.0 mapping added as a portfolio extension.</x:v>
      </x:c>
      <x:c r="K4" s="14" t="str">
        <x:v>https://doi.org/10.6028/NIST.CSWP.29</x:v>
      </x:c>
    </x:row>
    <x:row r="5" ht="72" customHeight="1">
      <x:c r="A5" s="14" t="str">
        <x:v>R-004</x:v>
      </x:c>
      <x:c r="B5" s="14" t="str">
        <x:v>Administrative accounts lack MFA</x:v>
      </x:c>
      <x:c r="C5" s="14" t="str">
        <x:v>Protect</x:v>
      </x:c>
      <x:c r="D5" s="14" t="str">
        <x:v>PR.AA</x:v>
      </x:c>
      <x:c r="E5" s="14" t="str">
        <x:v>Identity Management, Authentication, and Access Control</x:v>
      </x:c>
      <x:c r="F5" s="14" t="str">
        <x:v>Strengthen authentication for privileged and critical access.</x:v>
      </x:c>
      <x:c r="G5" s="14" t="str">
        <x:v>Use MFA for administrative/critical applications; use access reviews, network restrictions, and logging as compensating controls for legacy systems.</x:v>
      </x:c>
      <x:c r="H5" s="14" t="str">
        <x:v>A.2 MFA; Design; Scope Creep</x:v>
      </x:c>
      <x:c r="I5" s="14" t="str">
        <x:v>Implemented / Phased</x:v>
      </x:c>
      <x:c r="J5" s="14" t="str">
        <x:v>CSF 2.0 mapping added as a portfolio extension.</x:v>
      </x:c>
      <x:c r="K5" s="14" t="str">
        <x:v>https://doi.org/10.6028/NIST.CSWP.29</x:v>
      </x:c>
    </x:row>
    <x:row r="6" ht="72" customHeight="1">
      <x:c r="A6" s="14" t="str">
        <x:v>R-005</x:v>
      </x:c>
      <x:c r="B6" s="14" t="str">
        <x:v>No formal patch management process</x:v>
      </x:c>
      <x:c r="C6" s="14" t="str">
        <x:v>Protect</x:v>
      </x:c>
      <x:c r="D6" s="14" t="str">
        <x:v>PR.PS</x:v>
      </x:c>
      <x:c r="E6" s="14" t="str">
        <x:v>Platform Security</x:v>
      </x:c>
      <x:c r="F6" s="14" t="str">
        <x:v>Maintain and protect hardware, software, services, and configurations to reduce exploitable weaknesses.</x:v>
      </x:c>
      <x:c r="G6" s="14" t="str">
        <x:v>Document weekly patch schedule and automated update workflow.</x:v>
      </x:c>
      <x:c r="H6" s="14" t="str">
        <x:v>Problem Summary; A.2 Patch Management; Goal 2</x:v>
      </x:c>
      <x:c r="I6" s="14" t="str">
        <x:v>Implemented</x:v>
      </x:c>
      <x:c r="J6" s="14" t="str">
        <x:v>CSF 2.0 mapping added as a portfolio extension.</x:v>
      </x:c>
      <x:c r="K6" s="14" t="str">
        <x:v>https://doi.org/10.6028/NIST.CSWP.29</x:v>
      </x:c>
    </x:row>
    <x:row r="7" ht="72" customHeight="1">
      <x:c r="A7" s="14" t="str">
        <x:v>R-006</x:v>
      </x:c>
      <x:c r="B7" s="14" t="str">
        <x:v>Minimal endpoint protection and centralized visibility</x:v>
      </x:c>
      <x:c r="C7" s="14" t="str">
        <x:v>Detect</x:v>
      </x:c>
      <x:c r="D7" s="14" t="str">
        <x:v>DE.CM</x:v>
      </x:c>
      <x:c r="E7" s="14" t="str">
        <x:v>Continuous Monitoring</x:v>
      </x:c>
      <x:c r="F7" s="14" t="str">
        <x:v>Monitor assets and environments to find anomalies, indicators of compromise, and adverse events.</x:v>
      </x:c>
      <x:c r="G7" s="14" t="str">
        <x:v>Deploy endpoint protection, host firewalls, centralized logging/SIEM, alerts, and detection workflows.</x:v>
      </x:c>
      <x:c r="H7" s="14" t="str">
        <x:v>A.2 Endpoint Protection; Goal 3</x:v>
      </x:c>
      <x:c r="I7" s="14" t="str">
        <x:v>Implemented</x:v>
      </x:c>
      <x:c r="J7" s="14" t="str">
        <x:v>Also supports PR.PS because the capstone deploys protective technologies and logging.</x:v>
      </x:c>
      <x:c r="K7" s="14" t="str">
        <x:v>https://doi.org/10.6028/NIST.CSWP.29</x:v>
      </x:c>
    </x:row>
    <x:row r="8" ht="72" customHeight="1">
      <x:c r="A8" s="14" t="str">
        <x:v>R-007</x:v>
      </x:c>
      <x:c r="B8" s="14" t="str">
        <x:v>No formal backup and recovery strategy</x:v>
      </x:c>
      <x:c r="C8" s="14" t="str">
        <x:v>Protect</x:v>
      </x:c>
      <x:c r="D8" s="14" t="str">
        <x:v>PR.IR</x:v>
      </x:c>
      <x:c r="E8" s="14" t="str">
        <x:v>Technology Infrastructure Resilience</x:v>
      </x:c>
      <x:c r="F8" s="14" t="str">
        <x:v>Maintain resilience capabilities that support continuity and recovery.</x:v>
      </x:c>
      <x:c r="G8" s="14" t="str">
        <x:v>Use hybrid cloud and encrypted offline backups, versioning, access controls, and recovery testing.</x:v>
      </x:c>
      <x:c r="H8" s="14" t="str">
        <x:v>A.2 Backup Strategy; Goal 2</x:v>
      </x:c>
      <x:c r="I8" s="14" t="str">
        <x:v>Implemented</x:v>
      </x:c>
      <x:c r="J8" s="14" t="str">
        <x:v>Recovery activities also relate to the Recover function; primary mapping here reflects the preventive/resilience control.</x:v>
      </x:c>
      <x:c r="K8" s="14" t="str">
        <x:v>https://doi.org/10.6028/NIST.CSWP.29</x:v>
      </x:c>
    </x:row>
    <x:row r="9" ht="72" customHeight="1">
      <x:c r="A9" s="14" t="str">
        <x:v>R-008</x:v>
      </x:c>
      <x:c r="B9" s="14" t="str">
        <x:v>Weak email authentication controls</x:v>
      </x:c>
      <x:c r="C9" s="14" t="str">
        <x:v>Protect</x:v>
      </x:c>
      <x:c r="D9" s="14" t="str">
        <x:v>PR.DS</x:v>
      </x:c>
      <x:c r="E9" s="14" t="str">
        <x:v>Data Security</x:v>
      </x:c>
      <x:c r="F9" s="14" t="str">
        <x:v>Protect information and communications against loss of confidentiality, integrity, or authenticity.</x:v>
      </x:c>
      <x:c r="G9" s="14" t="str">
        <x:v>Configure SPF, DKIM, and DMARC and validate email authentication.</x:v>
      </x:c>
      <x:c r="H9" s="14" t="str">
        <x:v>Problem Summary; A.2 Email Security; Implementation; Goal 2</x:v>
      </x:c>
      <x:c r="I9" s="14" t="str">
        <x:v>Partially Validated</x:v>
      </x:c>
      <x:c r="J9" s="14" t="str">
        <x:v>The capstone states full validation was not completed; status preserves that limitation.</x:v>
      </x:c>
      <x:c r="K9" s="14" t="str">
        <x:v>https://doi.org/10.6028/NIST.CSWP.29</x:v>
      </x:c>
    </x:row>
    <x:row r="10" ht="72" customHeight="1">
      <x:c r="A10" s="14" t="str">
        <x:v>R-009</x:v>
      </x:c>
      <x:c r="B10" s="14" t="str">
        <x:v>No cybersecurity awareness training</x:v>
      </x:c>
      <x:c r="C10" s="14" t="str">
        <x:v>Protect</x:v>
      </x:c>
      <x:c r="D10" s="14" t="str">
        <x:v>PR.AT</x:v>
      </x:c>
      <x:c r="E10" s="14" t="str">
        <x:v>Awareness and Training</x:v>
      </x:c>
      <x:c r="F10" s="14" t="str">
        <x:v>Provide personnel with cybersecurity awareness and knowledge appropriate to their responsibilities.</x:v>
      </x:c>
      <x:c r="G10" s="14" t="str">
        <x:v>Deliver role-based awareness training on phishing, passwords, social engineering, and incident reporting; assess learning.</x:v>
      </x:c>
      <x:c r="H10" s="14" t="str">
        <x:v>Problem Summary; Training and Documentation; Appendix C</x:v>
      </x:c>
      <x:c r="I10" s="14" t="str">
        <x:v>Implemented</x:v>
      </x:c>
      <x:c r="J10" s="14" t="str">
        <x:v>CSF 2.0 mapping added as a portfolio extension.</x:v>
      </x:c>
      <x:c r="K10" s="14" t="str">
        <x:v>https://doi.org/10.6028/NIST.CSWP.29</x:v>
      </x:c>
    </x:row>
  </x:sheetData>
  <x:dataValidations count="1">
    <x:dataValidation type="list" sqref="I2:I10">
      <x:formula1>"Identified,Planned,In Progress,Implemented,Implemented / Phased,Partially Validated,Closed"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1a2478e4a246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24" t="str">
        <x:v>Mido Technologies — NIST CSF 2.0 Control Mapping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CSF Function</x:v>
      </x:c>
      <x:c r="B3" s="26" t="str">
        <x:v>Mapped Risks</x:v>
      </x:c>
      <x:c r="C3" s="25"/>
      <x:c r="D3" s="25"/>
      <x:c r="E3" s="25"/>
      <x:c r="F3" s="25"/>
    </x:row>
    <x:row r="4">
      <x:c r="A4" s="25" t="str">
        <x:v>Govern</x:v>
      </x:c>
      <x:c r="B4" s="25" t="n">
        <x:v>0</x:v>
      </x:c>
      <x:c r="C4" s="25"/>
      <x:c r="D4" s="25"/>
      <x:c r="E4" s="25"/>
      <x:c r="F4" s="25"/>
    </x:row>
    <x:row r="5">
      <x:c r="A5" s="25" t="str">
        <x:v>Identify</x:v>
      </x:c>
      <x:c r="B5" s="25" t="n">
        <x:v>0</x:v>
      </x:c>
      <x:c r="C5" s="25"/>
      <x:c r="D5" s="25"/>
      <x:c r="E5" s="25"/>
      <x:c r="F5" s="25"/>
    </x:row>
    <x:row r="6">
      <x:c r="A6" s="25" t="str">
        <x:v>Protect</x:v>
      </x:c>
      <x:c r="B6" s="25" t="n">
        <x:f>COUNTIF('NIST CSF 2.0 Mapping'!C2:C10,"Protect")</x:f>
        <x:v>8</x:v>
      </x:c>
      <x:c r="C6" s="25"/>
      <x:c r="D6" s="25"/>
      <x:c r="E6" s="25"/>
      <x:c r="F6" s="25"/>
    </x:row>
    <x:row r="7">
      <x:c r="A7" s="25" t="str">
        <x:v>Detect</x:v>
      </x:c>
      <x:c r="B7" s="25" t="n">
        <x:f>COUNTIF('NIST CSF 2.0 Mapping'!C2:C10,"Detect")</x:f>
        <x:v>1</x:v>
      </x:c>
      <x:c r="C7" s="25"/>
      <x:c r="D7" s="25"/>
      <x:c r="E7" s="25"/>
      <x:c r="F7" s="25"/>
    </x:row>
    <x:row r="8">
      <x:c r="A8" s="25" t="str">
        <x:v>Respond</x:v>
      </x:c>
      <x:c r="B8" s="25" t="n">
        <x:v>0</x:v>
      </x:c>
      <x:c r="C8" s="25"/>
      <x:c r="D8" s="25"/>
      <x:c r="E8" s="25"/>
      <x:c r="F8" s="25"/>
    </x:row>
    <x:row r="9">
      <x:c r="A9" s="25" t="str">
        <x:v>Recover</x:v>
      </x:c>
      <x:c r="B9" s="25" t="n">
        <x:v>0</x:v>
      </x:c>
      <x:c r="C9" s="25"/>
      <x:c r="D9" s="25"/>
      <x:c r="E9" s="25"/>
      <x:c r="F9" s="25"/>
    </x:row>
    <x:row r="10">
      <x:c r="A10" s="25"/>
      <x:c r="B10" s="25"/>
      <x:c r="C10" s="25"/>
      <x:c r="D10" s="25"/>
      <x:c r="E10" s="25"/>
      <x:c r="F10" s="25"/>
    </x:row>
    <x:row r="11">
      <x:c r="A11" s="27" t="str">
        <x:v>How to Read This Artifact</x:v>
      </x:c>
      <x:c r="B11" s="27"/>
      <x:c r="C11" s="27"/>
      <x:c r="D11" s="27"/>
      <x:c r="E11" s="27"/>
      <x:c r="F11" s="27"/>
    </x:row>
    <x:row r="12" ht="40" customHeight="1">
      <x:c r="A12" s="28" t="str">
        <x:v>This workbook maps risks and remediations documented in the WGU capstone to NIST Cybersecurity Framework (CSF) 2.0 categories.</x:v>
      </x:c>
      <x:c r="B12" s="28"/>
      <x:c r="C12" s="28"/>
      <x:c r="D12" s="28"/>
      <x:c r="E12" s="28"/>
      <x:c r="F12" s="28"/>
    </x:row>
    <x:row r="13" ht="40" customHeight="1">
      <x:c r="A13" s="28" t="str">
        <x:v>The original capstone references NIST CSF and risk-to-control mapping, but this formal CSF 2.0 mapping was created afterward as a portfolio extension.</x:v>
      </x:c>
      <x:c r="B13" s="28"/>
      <x:c r="C13" s="28"/>
      <x:c r="D13" s="28"/>
      <x:c r="E13" s="28"/>
      <x:c r="F13" s="28"/>
    </x:row>
    <x:row r="14" ht="40" customHeight="1">
      <x:c r="A14" s="28" t="str">
        <x:v>NIST CSF 2.0 describes cybersecurity outcomes rather than prescribing specific controls, so the mapping documents how the Mido Technologies remediations support relevant CSF outcomes.</x:v>
      </x:c>
      <x:c r="B14" s="28"/>
      <x:c r="C14" s="28"/>
      <x:c r="D14" s="28"/>
      <x:c r="E14" s="28"/>
      <x:c r="F14" s="28"/>
    </x:row>
  </x:sheetData>
  <x:mergeCells>
    <x:mergeCell ref="A1:F1"/>
    <x:mergeCell ref="A11:F11"/>
    <x:mergeCell ref="A12:F12"/>
    <x:mergeCell ref="A13:F13"/>
    <x:mergeCell ref="A14:F14"/>
  </x:mergeCells>
  <x:pageMargins left="0.7" right="0.7" top="0.75" bottom="0.75" header="0.3" footer="0.3"/>
</x:worksheet>
</file>