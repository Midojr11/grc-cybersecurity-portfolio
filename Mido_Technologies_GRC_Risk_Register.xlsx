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f6623b7e5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93e405eedde84bcd"/>
    <x:sheet xmlns:r="http://schemas.openxmlformats.org/officeDocument/2006/relationships" name="Dashboard" sheetId="2" r:id="R6aa9fccac1c0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aff34e46141cf" /><Relationship Type="http://schemas.openxmlformats.org/officeDocument/2006/relationships/theme" Target="/xl/theme/theme1.xml" Id="R7d432c80a5a54cf9" /><Relationship Type="http://schemas.openxmlformats.org/officeDocument/2006/relationships/sharedStrings" Target="/xl/sharedStrings.xml" Id="R27f169df5d654786" /><Relationship Type="http://schemas.openxmlformats.org/officeDocument/2006/relationships/worksheet" Target="/xl/worksheets/sheet1.xml" Id="R93e405eedde84bcd" /><Relationship Type="http://schemas.openxmlformats.org/officeDocument/2006/relationships/worksheet" Target="/xl/worksheets/sheet2.xml" Id="R6aa9fccac1c0432e" /></Relationships>
</file>

<file path=xl/tables/table1.xml><?xml version="1.0" encoding="utf-8"?>
<x:table xmlns:x="http://schemas.openxmlformats.org/spreadsheetml/2006/main" id="1" name="RiskRegisterTable" displayName="RiskRegisterTable" ref="A1:Q10" headerRowCount="1" totalsRowCount="0" totalsRowShown="0">
  <x:tableColumns count="17">
    <x:tableColumn id="1" name="Risk ID"/>
    <x:tableColumn id="2" name="Risk / Finding"/>
    <x:tableColumn id="3" name="Business / Asset Area"/>
    <x:tableColumn id="4" name="Threat / Vulnerability"/>
    <x:tableColumn id="5" name="Likelihood (1-5)"/>
    <x:tableColumn id="6" name="Impact (1-5)"/>
    <x:tableColumn id="7" name="Inherent Risk"/>
    <x:tableColumn id="8" name="Risk Level"/>
    <x:tableColumn id="9" name="Existing / Proposed Controls"/>
    <x:tableColumn id="10" name="Treatment"/>
    <x:tableColumn id="11" name="Residual Likelihood"/>
    <x:tableColumn id="12" name="Residual Impact"/>
    <x:tableColumn id="13" name="Residual Risk"/>
    <x:tableColumn id="14" name="Residual Level"/>
    <x:tableColumn id="15" name="Owner"/>
    <x:tableColumn id="16" name="Status"/>
    <x:tableColumn id="17" name="Capston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1e36273c40404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38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12" hidden="0" customWidth="1"/>
    <x:col min="11" max="11" width="18" hidden="0" customWidth="1"/>
    <x:col min="12" max="12" width="15" hidden="0" customWidth="1"/>
    <x:col min="13" max="13" width="13" hidden="0" customWidth="1"/>
    <x:col min="14" max="14" width="14" hidden="0" customWidth="1"/>
    <x:col min="15" max="15" width="26" hidden="0" customWidth="1"/>
    <x:col min="16" max="16" width="18" hidden="0" customWidth="1"/>
    <x:col min="17" max="17" width="28" hidden="0" customWidth="1"/>
  </x:cols>
  <x:sheetData>
    <x:row r="1" ht="34" customHeight="1">
      <x:c r="A1" s="6" t="str">
        <x:v>Risk ID</x:v>
      </x:c>
      <x:c r="B1" s="6" t="str">
        <x:v>Risk / Finding</x:v>
      </x:c>
      <x:c r="C1" s="6" t="str">
        <x:v>Business / Asset Area</x:v>
      </x:c>
      <x:c r="D1" s="6" t="str">
        <x:v>Threat / Vulnerability</x:v>
      </x:c>
      <x:c r="E1" s="6" t="str">
        <x:v>Likelihood (1-5)</x:v>
      </x:c>
      <x:c r="F1" s="6" t="str">
        <x:v>Impact (1-5)</x:v>
      </x:c>
      <x:c r="G1" s="6" t="str">
        <x:v>Inherent Risk</x:v>
      </x:c>
      <x:c r="H1" s="6" t="str">
        <x:v>Risk Level</x:v>
      </x:c>
      <x:c r="I1" s="6" t="str">
        <x:v>Existing / Proposed Controls</x:v>
      </x:c>
      <x:c r="J1" s="6" t="str">
        <x:v>Treatment</x:v>
      </x:c>
      <x:c r="K1" s="6" t="str">
        <x:v>Residual Likelihood</x:v>
      </x:c>
      <x:c r="L1" s="6" t="str">
        <x:v>Residual Impact</x:v>
      </x:c>
      <x:c r="M1" s="6" t="str">
        <x:v>Residual Risk</x:v>
      </x:c>
      <x:c r="N1" s="6" t="str">
        <x:v>Residual Level</x:v>
      </x:c>
      <x:c r="O1" s="6" t="str">
        <x:v>Owner</x:v>
      </x:c>
      <x:c r="P1" s="6" t="str">
        <x:v>Status</x:v>
      </x:c>
      <x:c r="Q1" s="6" t="str">
        <x:v>Capstone Evidence</x:v>
      </x:c>
    </x:row>
    <x:row r="2" ht="62" customHeight="1">
      <x:c r="A2" s="14" t="str">
        <x:v>R-001</x:v>
      </x:c>
      <x:c r="B2" s="14" t="str">
        <x:v>Legacy WEP wireless encryption</x:v>
      </x:c>
      <x:c r="C2" s="14" t="str">
        <x:v>Wireless Network</x:v>
      </x:c>
      <x:c r="D2" s="14" t="str">
        <x:v>Weak encryption could allow packet sniffing and unauthorized access</x:v>
      </x:c>
      <x:c r="E2" s="14" t="n">
        <x:v>5</x:v>
      </x:c>
      <x:c r="F2" s="14" t="n">
        <x:v>5</x:v>
      </x:c>
      <x:c r="G2" s="14" t="n">
        <x:f>E2*F2</x:f>
        <x:v>25</x:v>
      </x:c>
      <x:c r="H2" s="14" t="str">
        <x:f>IF(G2&gt;=20,"Critical",IF(G2&gt;=15,"High",IF(G2&gt;=8,"Medium","Low")))</x:f>
        <x:v>Critical</x:v>
      </x:c>
      <x:c r="I2" s="14" t="str">
        <x:v>Replace WEP with WPA3; secure passphrase management</x:v>
      </x:c>
      <x:c r="J2" s="14" t="str">
        <x:v>Mitigate</x:v>
      </x:c>
      <x:c r="K2" s="14" t="n">
        <x:v>2</x:v>
      </x:c>
      <x:c r="L2" s="14" t="n">
        <x:v>4</x:v>
      </x:c>
      <x:c r="M2" s="14" t="n">
        <x:f>K2*L2</x:f>
        <x:v>8</x:v>
      </x:c>
      <x:c r="N2" s="14" t="str">
        <x:f>IF(M2&gt;=20,"Critical",IF(M2&gt;=15,"High",IF(M2&gt;=8,"Medium","Low")))</x:f>
        <x:v>Medium</x:v>
      </x:c>
      <x:c r="O2" s="14" t="str">
        <x:v>IT / Network Administrator</x:v>
      </x:c>
      <x:c r="P2" s="14" t="str">
        <x:v>Implemented</x:v>
      </x:c>
      <x:c r="Q2" s="14" t="str">
        <x:v>Problem Summary; A.2; Appendix A</x:v>
      </x:c>
    </x:row>
    <x:row r="3" ht="62" customHeight="1">
      <x:c r="A3" s="14" t="str">
        <x:v>R-002</x:v>
      </x:c>
      <x:c r="B3" s="14" t="str">
        <x:v>Flat network with no segmentation</x:v>
      </x:c>
      <x:c r="C3" s="14" t="str">
        <x:v>Network Infrastructure</x:v>
      </x:c>
      <x:c r="D3" s="14" t="str">
        <x:v>Compromise of guest or IoT device could enable lateral movement into internal systems</x:v>
      </x:c>
      <x:c r="E3" s="14" t="n">
        <x:v>5</x:v>
      </x:c>
      <x:c r="F3" s="14" t="n">
        <x:v>5</x:v>
      </x:c>
      <x:c r="G3" s="14" t="n">
        <x:f>E3*F3</x:f>
        <x:v>25</x:v>
      </x:c>
      <x:c r="H3" s="14" t="str">
        <x:f>IF(G3&gt;=20,"Critical",IF(G3&gt;=15,"High",IF(G3&gt;=8,"Medium","Low")))</x:f>
        <x:v>Critical</x:v>
      </x:c>
      <x:c r="I3" s="14" t="str">
        <x:v>Segment employee, guest, and IoT traffic with VLANs and ACLs using least privilege</x:v>
      </x:c>
      <x:c r="J3" s="14" t="str">
        <x:v>Mitigate</x:v>
      </x:c>
      <x:c r="K3" s="14" t="n">
        <x:v>2</x:v>
      </x:c>
      <x:c r="L3" s="14" t="n">
        <x:v>4</x:v>
      </x:c>
      <x:c r="M3" s="14" t="n">
        <x:f>K3*L3</x:f>
        <x:v>8</x:v>
      </x:c>
      <x:c r="N3" s="14" t="str">
        <x:f>IF(M3&gt;=20,"Critical",IF(M3&gt;=15,"High",IF(M3&gt;=8,"Medium","Low")))</x:f>
        <x:v>Medium</x:v>
      </x:c>
      <x:c r="O3" s="14" t="str">
        <x:v>IT / Network Administrator</x:v>
      </x:c>
      <x:c r="P3" s="14" t="str">
        <x:v>Implemented</x:v>
      </x:c>
      <x:c r="Q3" s="14" t="str">
        <x:v>Problem Summary; Design; Appendix B</x:v>
      </x:c>
    </x:row>
    <x:row r="4" ht="62" customHeight="1">
      <x:c r="A4" s="14" t="str">
        <x:v>R-003</x:v>
      </x:c>
      <x:c r="B4" s="14" t="str">
        <x:v>Shared accounts and weak/reused passwords</x:v>
      </x:c>
      <x:c r="C4" s="14" t="str">
        <x:v>Identity &amp; Access Management</x:v>
      </x:c>
      <x:c r="D4" s="14" t="str">
        <x:v>Poor accountability and increased likelihood of credential compromise</x:v>
      </x:c>
      <x:c r="E4" s="14" t="n">
        <x:v>5</x:v>
      </x:c>
      <x:c r="F4" s="14" t="n">
        <x:v>5</x:v>
      </x:c>
      <x:c r="G4" s="14" t="n">
        <x:f>E4*F4</x:f>
        <x:v>25</x:v>
      </x:c>
      <x:c r="H4" s="14" t="str">
        <x:f>IF(G4&gt;=20,"Critical",IF(G4&gt;=15,"High",IF(G4&gt;=8,"Medium","Low")))</x:f>
        <x:v>Critical</x:v>
      </x:c>
      <x:c r="I4" s="14" t="str">
        <x:v>Individual accounts; strong password policy; account lifecycle procedures</x:v>
      </x:c>
      <x:c r="J4" s="14" t="str">
        <x:v>Mitigate</x:v>
      </x:c>
      <x:c r="K4" s="14" t="n">
        <x:v>2</x:v>
      </x:c>
      <x:c r="L4" s="14" t="n">
        <x:v>4</x:v>
      </x:c>
      <x:c r="M4" s="14" t="n">
        <x:f>K4*L4</x:f>
        <x:v>8</x:v>
      </x:c>
      <x:c r="N4" s="14" t="str">
        <x:f>IF(M4&gt;=20,"Critical",IF(M4&gt;=15,"High",IF(M4&gt;=8,"Medium","Low")))</x:f>
        <x:v>Medium</x:v>
      </x:c>
      <x:c r="O4" s="14" t="str">
        <x:v>IT / Security Administrator</x:v>
      </x:c>
      <x:c r="P4" s="14" t="str">
        <x:v>Implemented</x:v>
      </x:c>
      <x:c r="Q4" s="14" t="str">
        <x:v>Problem Summary; A.2; Implementation</x:v>
      </x:c>
    </x:row>
    <x:row r="5" ht="62" customHeight="1">
      <x:c r="A5" s="14" t="str">
        <x:v>R-004</x:v>
      </x:c>
      <x:c r="B5" s="14" t="str">
        <x:v>Administrative accounts lack MFA</x:v>
      </x:c>
      <x:c r="C5" s="14" t="str">
        <x:v>Identity &amp; Access Management</x:v>
      </x:c>
      <x:c r="D5" s="14" t="str">
        <x:v>Stolen credentials could provide privileged access</x:v>
      </x:c>
      <x:c r="E5" s="14" t="n">
        <x:v>4</x:v>
      </x:c>
      <x:c r="F5" s="14" t="n">
        <x:v>5</x:v>
      </x:c>
      <x:c r="G5" s="14" t="n">
        <x:f>E5*F5</x:f>
        <x:v>20</x:v>
      </x:c>
      <x:c r="H5" s="14" t="str">
        <x:f>IF(G5&gt;=20,"Critical",IF(G5&gt;=15,"High",IF(G5&gt;=8,"Medium","Low")))</x:f>
        <x:v>Critical</x:v>
      </x:c>
      <x:c r="I5" s="14" t="str">
        <x:v>MFA for administrative and critical applications; access reviews and enhanced logging as compensating controls for legacy systems</x:v>
      </x:c>
      <x:c r="J5" s="14" t="str">
        <x:v>Mitigate</x:v>
      </x:c>
      <x:c r="K5" s="14" t="n">
        <x:v>2</x:v>
      </x:c>
      <x:c r="L5" s="14" t="n">
        <x:v>4</x:v>
      </x:c>
      <x:c r="M5" s="14" t="n">
        <x:f>K5*L5</x:f>
        <x:v>8</x:v>
      </x:c>
      <x:c r="N5" s="14" t="str">
        <x:f>IF(M5&gt;=20,"Critical",IF(M5&gt;=15,"High",IF(M5&gt;=8,"Medium","Low")))</x:f>
        <x:v>Medium</x:v>
      </x:c>
      <x:c r="O5" s="14" t="str">
        <x:v>IT / Security Administrator</x:v>
      </x:c>
      <x:c r="P5" s="14" t="str">
        <x:v>Implemented / Phased</x:v>
      </x:c>
      <x:c r="Q5" s="14" t="str">
        <x:v>A.2; Design; Scope Creep</x:v>
      </x:c>
    </x:row>
    <x:row r="6" ht="62" customHeight="1">
      <x:c r="A6" s="14" t="str">
        <x:v>R-005</x:v>
      </x:c>
      <x:c r="B6" s="14" t="str">
        <x:v>No formal patch management process</x:v>
      </x:c>
      <x:c r="C6" s="14" t="str">
        <x:v>Endpoint / Vulnerability Management</x:v>
      </x:c>
      <x:c r="D6" s="14" t="str">
        <x:v>Known vulnerabilities may remain exploitable on endpoints and software</x:v>
      </x:c>
      <x:c r="E6" s="14" t="n">
        <x:v>5</x:v>
      </x:c>
      <x:c r="F6" s="14" t="n">
        <x:v>4</x:v>
      </x:c>
      <x:c r="G6" s="14" t="n">
        <x:f>E6*F6</x:f>
        <x:v>20</x:v>
      </x:c>
      <x:c r="H6" s="14" t="str">
        <x:f>IF(G6&gt;=20,"Critical",IF(G6&gt;=15,"High",IF(G6&gt;=8,"Medium","Low")))</x:f>
        <x:v>Critical</x:v>
      </x:c>
      <x:c r="I6" s="14" t="str">
        <x:v>Documented weekly patch schedule and automated scheduling workflow</x:v>
      </x:c>
      <x:c r="J6" s="14" t="str">
        <x:v>Mitigate</x:v>
      </x:c>
      <x:c r="K6" s="14" t="n">
        <x:v>2</x:v>
      </x:c>
      <x:c r="L6" s="14" t="n">
        <x:v>3</x:v>
      </x:c>
      <x:c r="M6" s="14" t="n">
        <x:f>K6*L6</x:f>
        <x:v>6</x:v>
      </x:c>
      <x:c r="N6" s="14" t="str">
        <x:f>IF(M6&gt;=20,"Critical",IF(M6&gt;=15,"High",IF(M6&gt;=8,"Medium","Low")))</x:f>
        <x:v>Low</x:v>
      </x:c>
      <x:c r="O6" s="14" t="str">
        <x:v>IT Administrator</x:v>
      </x:c>
      <x:c r="P6" s="14" t="str">
        <x:v>Implemented</x:v>
      </x:c>
      <x:c r="Q6" s="14" t="str">
        <x:v>Problem Summary; A.2; Goal 2</x:v>
      </x:c>
    </x:row>
    <x:row r="7" ht="62" customHeight="1">
      <x:c r="A7" s="14" t="str">
        <x:v>R-006</x:v>
      </x:c>
      <x:c r="B7" s="14" t="str">
        <x:v>Minimal endpoint protection and centralized visibility</x:v>
      </x:c>
      <x:c r="C7" s="14" t="str">
        <x:v>Endpoint Security / Monitoring</x:v>
      </x:c>
      <x:c r="D7" s="14" t="str">
        <x:v>Malicious activity may go undetected or uncontained</x:v>
      </x:c>
      <x:c r="E7" s="14" t="n">
        <x:v>4</x:v>
      </x:c>
      <x:c r="F7" s="14" t="n">
        <x:v>5</x:v>
      </x:c>
      <x:c r="G7" s="14" t="n">
        <x:f>E7*F7</x:f>
        <x:v>20</x:v>
      </x:c>
      <x:c r="H7" s="14" t="str">
        <x:f>IF(G7&gt;=20,"Critical",IF(G7&gt;=15,"High",IF(G7&gt;=8,"Medium","Low")))</x:f>
        <x:v>Critical</x:v>
      </x:c>
      <x:c r="I7" s="14" t="str">
        <x:v>Antivirus; host-based firewalls; centralized logging / SIEM; simulated alerts and detection workflows</x:v>
      </x:c>
      <x:c r="J7" s="14" t="str">
        <x:v>Mitigate</x:v>
      </x:c>
      <x:c r="K7" s="14" t="n">
        <x:v>2</x:v>
      </x:c>
      <x:c r="L7" s="14" t="n">
        <x:v>3</x:v>
      </x:c>
      <x:c r="M7" s="14" t="n">
        <x:f>K7*L7</x:f>
        <x:v>6</x:v>
      </x:c>
      <x:c r="N7" s="14" t="str">
        <x:f>IF(M7&gt;=20,"Critical",IF(M7&gt;=15,"High",IF(M7&gt;=8,"Medium","Low")))</x:f>
        <x:v>Low</x:v>
      </x:c>
      <x:c r="O7" s="14" t="str">
        <x:v>Security / IT Administrator</x:v>
      </x:c>
      <x:c r="P7" s="14" t="str">
        <x:v>Implemented</x:v>
      </x:c>
      <x:c r="Q7" s="14" t="str">
        <x:v>A.2; Goal 3</x:v>
      </x:c>
    </x:row>
    <x:row r="8" ht="62" customHeight="1">
      <x:c r="A8" s="14" t="str">
        <x:v>R-007</x:v>
      </x:c>
      <x:c r="B8" s="14" t="str">
        <x:v>No formal backup and recovery strategy</x:v>
      </x:c>
      <x:c r="C8" s="14" t="str">
        <x:v>Business Continuity</x:v>
      </x:c>
      <x:c r="D8" s="14" t="str">
        <x:v>Ransomware or system failure could cause data loss and operational disruption</x:v>
      </x:c>
      <x:c r="E8" s="14" t="n">
        <x:v>4</x:v>
      </x:c>
      <x:c r="F8" s="14" t="n">
        <x:v>5</x:v>
      </x:c>
      <x:c r="G8" s="14" t="n">
        <x:f>E8*F8</x:f>
        <x:v>20</x:v>
      </x:c>
      <x:c r="H8" s="14" t="str">
        <x:f>IF(G8&gt;=20,"Critical",IF(G8&gt;=15,"High",IF(G8&gt;=8,"Medium","Low")))</x:f>
        <x:v>Critical</x:v>
      </x:c>
      <x:c r="I8" s="14" t="str">
        <x:v>Hybrid cloud and encrypted offline backups; versioning; access controls; recovery testing</x:v>
      </x:c>
      <x:c r="J8" s="14" t="str">
        <x:v>Mitigate</x:v>
      </x:c>
      <x:c r="K8" s="14" t="n">
        <x:v>2</x:v>
      </x:c>
      <x:c r="L8" s="14" t="n">
        <x:v>3</x:v>
      </x:c>
      <x:c r="M8" s="14" t="n">
        <x:f>K8*L8</x:f>
        <x:v>6</x:v>
      </x:c>
      <x:c r="N8" s="14" t="str">
        <x:f>IF(M8&gt;=20,"Critical",IF(M8&gt;=15,"High",IF(M8&gt;=8,"Medium","Low")))</x:f>
        <x:v>Low</x:v>
      </x:c>
      <x:c r="O8" s="14" t="str">
        <x:v>IT / Business Continuity Owner</x:v>
      </x:c>
      <x:c r="P8" s="14" t="str">
        <x:v>Implemented</x:v>
      </x:c>
      <x:c r="Q8" s="14" t="str">
        <x:v>A.2; Goal 2</x:v>
      </x:c>
    </x:row>
    <x:row r="9" ht="62" customHeight="1">
      <x:c r="A9" s="14" t="str">
        <x:v>R-008</x:v>
      </x:c>
      <x:c r="B9" s="14" t="str">
        <x:v>Weak email authentication controls</x:v>
      </x:c>
      <x:c r="C9" s="14" t="str">
        <x:v>Email / Communications</x:v>
      </x:c>
      <x:c r="D9" s="14" t="str">
        <x:v>Phishing and domain spoofing could lead to credential theft or fraud</x:v>
      </x:c>
      <x:c r="E9" s="14" t="n">
        <x:v>5</x:v>
      </x:c>
      <x:c r="F9" s="14" t="n">
        <x:v>4</x:v>
      </x:c>
      <x:c r="G9" s="14" t="n">
        <x:f>E9*F9</x:f>
        <x:v>20</x:v>
      </x:c>
      <x:c r="H9" s="14" t="str">
        <x:f>IF(G9&gt;=20,"Critical",IF(G9&gt;=15,"High",IF(G9&gt;=8,"Medium","Low")))</x:f>
        <x:v>Critical</x:v>
      </x:c>
      <x:c r="I9" s="14" t="str">
        <x:v>SPF, DKIM, and DMARC configuration plus validation/testing</x:v>
      </x:c>
      <x:c r="J9" s="14" t="str">
        <x:v>Mitigate</x:v>
      </x:c>
      <x:c r="K9" s="14" t="n">
        <x:v>3</x:v>
      </x:c>
      <x:c r="L9" s="14" t="n">
        <x:v>3</x:v>
      </x:c>
      <x:c r="M9" s="14" t="n">
        <x:f>K9*L9</x:f>
        <x:v>9</x:v>
      </x:c>
      <x:c r="N9" s="14" t="str">
        <x:f>IF(M9&gt;=20,"Critical",IF(M9&gt;=15,"High",IF(M9&gt;=8,"Medium","Low")))</x:f>
        <x:v>Medium</x:v>
      </x:c>
      <x:c r="O9" s="14" t="str">
        <x:v>Email / IT Administrator</x:v>
      </x:c>
      <x:c r="P9" s="14" t="str">
        <x:v>Partially Validated</x:v>
      </x:c>
      <x:c r="Q9" s="14" t="str">
        <x:v>Problem Summary; Implementation; Goal 2</x:v>
      </x:c>
    </x:row>
    <x:row r="10" ht="62" customHeight="1">
      <x:c r="A10" s="14" t="str">
        <x:v>R-009</x:v>
      </x:c>
      <x:c r="B10" s="14" t="str">
        <x:v>No cybersecurity awareness training</x:v>
      </x:c>
      <x:c r="C10" s="14" t="str">
        <x:v>People / Security Awareness</x:v>
      </x:c>
      <x:c r="D10" s="14" t="str">
        <x:v>Employees may fail to identify phishing, social engineering, or ransomware attempts</x:v>
      </x:c>
      <x:c r="E10" s="14" t="n">
        <x:v>5</x:v>
      </x:c>
      <x:c r="F10" s="14" t="n">
        <x:v>4</x:v>
      </x:c>
      <x:c r="G10" s="14" t="n">
        <x:f>E10*F10</x:f>
        <x:v>20</x:v>
      </x:c>
      <x:c r="H10" s="14" t="str">
        <x:f>IF(G10&gt;=20,"Critical",IF(G10&gt;=15,"High",IF(G10&gt;=8,"Medium","Low")))</x:f>
        <x:v>Critical</x:v>
      </x:c>
      <x:c r="I10" s="14" t="str">
        <x:v>Role-based awareness training; phishing identification; password practices; incident reporting; post-training assessment</x:v>
      </x:c>
      <x:c r="J10" s="14" t="str">
        <x:v>Mitigate</x:v>
      </x:c>
      <x:c r="K10" s="14" t="n">
        <x:v>2</x:v>
      </x:c>
      <x:c r="L10" s="14" t="n">
        <x:v>3</x:v>
      </x:c>
      <x:c r="M10" s="14" t="n">
        <x:f>K10*L10</x:f>
        <x:v>6</x:v>
      </x:c>
      <x:c r="N10" s="14" t="str">
        <x:f>IF(M10&gt;=20,"Critical",IF(M10&gt;=15,"High",IF(M10&gt;=8,"Medium","Low")))</x:f>
        <x:v>Low</x:v>
      </x:c>
      <x:c r="O10" s="14" t="str">
        <x:v>Management / Security</x:v>
      </x:c>
      <x:c r="P10" s="14" t="str">
        <x:v>Implemented</x:v>
      </x:c>
      <x:c r="Q10" s="14" t="str">
        <x:v>Problem Summary; Training; Appendix C</x:v>
      </x:c>
    </x:row>
  </x:sheetData>
  <x:conditionalFormatting sqref="G2:G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M2:M1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4">
    <x:dataValidation type="list" sqref="E2:F10">
      <x:formula1>"1,2,3,4,5"</x:formula1>
    </x:dataValidation>
    <x:dataValidation type="list" sqref="K2:L10">
      <x:formula1>"1,2,3,4,5"</x:formula1>
    </x:dataValidation>
    <x:dataValidation type="list" sqref="J2:J10">
      <x:formula1>"Mitigate,Accept,Transfer,Avoid"</x:formula1>
    </x:dataValidation>
    <x:dataValidation type="list" sqref="P2:P10">
      <x:formula1>"Identified,Planned,In Progress,Implemented,Implemented / Phased,Partially Validated,Closed"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1e36273c4040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4" max="4" width="22" hidden="0" customWidth="1"/>
    <x:col min="5" max="5" width="22" hidden="0" customWidth="1"/>
  </x:cols>
  <x:sheetData>
    <x:row r="1">
      <x:c r="A1" s="18" t="str">
        <x:v>Mido Technologies — GRC Risk Register Dashboard</x:v>
      </x:c>
      <x:c r="B1" s="18"/>
      <x:c r="C1" s="18"/>
      <x:c r="D1" s="18"/>
      <x:c r="E1" s="18"/>
      <x:c r="F1" s="18"/>
    </x:row>
    <x:row r="3">
      <x:c r="A3" s="24" t="str">
        <x:v>Metric</x:v>
      </x:c>
      <x:c r="B3" s="24" t="str">
        <x:v>Value</x:v>
      </x:c>
      <x:c r="D3" s="24" t="str">
        <x:v>Risk Score</x:v>
      </x:c>
      <x:c r="E3" s="24" t="str">
        <x:v>Level</x:v>
      </x:c>
    </x:row>
    <x:row r="4">
      <x:c r="A4" t="str">
        <x:v>Total Risks</x:v>
      </x:c>
      <x:c r="B4" t="n">
        <x:f>COUNTA('Risk Register'!A2:A10)</x:f>
        <x:v>9</x:v>
      </x:c>
      <x:c r="D4" t="str">
        <x:v>1–7</x:v>
      </x:c>
      <x:c r="E4" t="str">
        <x:v>Low</x:v>
      </x:c>
    </x:row>
    <x:row r="5">
      <x:c r="A5" t="str">
        <x:v>Critical Inherent Risks</x:v>
      </x:c>
      <x:c r="B5" t="n">
        <x:f>COUNTIF('Risk Register'!H2:H10,"Critical")</x:f>
        <x:v>9</x:v>
      </x:c>
      <x:c r="D5" t="str">
        <x:v>8–14</x:v>
      </x:c>
      <x:c r="E5" t="str">
        <x:v>Medium</x:v>
      </x:c>
    </x:row>
    <x:row r="6">
      <x:c r="A6" t="str">
        <x:v>High Inherent Risks</x:v>
      </x:c>
      <x:c r="B6" t="n">
        <x:f>COUNTIF('Risk Register'!H2:H10,"High")</x:f>
        <x:v>0</x:v>
      </x:c>
      <x:c r="D6" t="str">
        <x:v>15–19</x:v>
      </x:c>
      <x:c r="E6" t="str">
        <x:v>High</x:v>
      </x:c>
    </x:row>
    <x:row r="7">
      <x:c r="A7" t="str">
        <x:v>Not Fully Complete / Validated</x:v>
      </x:c>
      <x:c r="B7" t="n">
        <x:f>COUNTIF('Risk Register'!P2:P10,"Partially Validated")+COUNTIF('Risk Register'!P2:P10,"Implemented / Phased")</x:f>
        <x:v>2</x:v>
      </x:c>
      <x:c r="D7" t="str">
        <x:v>20–25</x:v>
      </x:c>
      <x:c r="E7" t="str">
        <x:v>Critical</x:v>
      </x:c>
    </x:row>
    <x:row r="8">
      <x:c r="D8" t="str">
        <x:v>Formula</x:v>
      </x:c>
      <x:c r="E8" t="str">
        <x:v>Likelihood × Impact</x:v>
      </x:c>
    </x:row>
    <x:row r="10">
      <x:c r="A10" s="3" t="str">
        <x:v>Portfolio Note</x:v>
      </x:c>
      <x:c r="B10" s="3"/>
      <x:c r="C10" s="3"/>
      <x:c r="D10" s="3"/>
      <x:c r="E10" s="3"/>
      <x:c r="F10" s="3"/>
    </x:row>
    <x:row r="11" ht="38" customHeight="1">
      <x:c r="A11" s="12" t="str">
        <x:v>This register translates findings from the WGU capstone “Operation: Cyber Clean-Up” into a GRC-style artifact.</x:v>
      </x:c>
      <x:c r="B11" s="12"/>
      <x:c r="C11" s="12"/>
      <x:c r="D11" s="12"/>
      <x:c r="E11" s="12"/>
      <x:c r="F11" s="12"/>
    </x:row>
    <x:row r="12" ht="38" customHeight="1">
      <x:c r="A12" s="12" t="str">
        <x:v>Likelihood, impact, ownership, and residual-risk scores are portfolio judgments added to structure the capstone findings; they were not explicit numeric scores in the original report.</x:v>
      </x:c>
      <x:c r="B12" s="12"/>
      <x:c r="C12" s="12"/>
      <x:c r="D12" s="12"/>
      <x:c r="E12" s="12"/>
      <x:c r="F12" s="12"/>
    </x:row>
    <x:row r="13" ht="38" customHeight="1">
      <x:c r="A13" s="12" t="str">
        <x:v>Controls and evidence references are grounded in the capstone report.</x:v>
      </x:c>
      <x:c r="B13" s="12"/>
      <x:c r="C13" s="12"/>
      <x:c r="D13" s="12"/>
      <x:c r="E13" s="12"/>
      <x:c r="F13" s="12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